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My Tableau Repository\Workbooks\Data Analysis Portfolio Projects\excel files\"/>
    </mc:Choice>
  </mc:AlternateContent>
  <bookViews>
    <workbookView xWindow="0" yWindow="0" windowWidth="20490" windowHeight="7635" activeTab="1"/>
  </bookViews>
  <sheets>
    <sheet name="Data Sample" sheetId="1" r:id="rId1"/>
    <sheet name=" VBA FORM" sheetId="3" r:id="rId2"/>
    <sheet name="Name &amp; Email ID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2" l="1"/>
  <c r="G30" i="2"/>
  <c r="F29" i="2" l="1"/>
  <c r="G29" i="2"/>
  <c r="F28" i="2"/>
  <c r="G28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F2" i="1"/>
  <c r="J2" i="1"/>
  <c r="K2" i="1" s="1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</calcChain>
</file>

<file path=xl/sharedStrings.xml><?xml version="1.0" encoding="utf-8"?>
<sst xmlns="http://schemas.openxmlformats.org/spreadsheetml/2006/main" count="143" uniqueCount="102">
  <si>
    <t xml:space="preserve">Sr. No. </t>
  </si>
  <si>
    <t>Date</t>
  </si>
  <si>
    <t>Task Details</t>
  </si>
  <si>
    <t>Responsibility</t>
  </si>
  <si>
    <t>Target Date</t>
  </si>
  <si>
    <t>Email ID</t>
  </si>
  <si>
    <t>Completion Date</t>
  </si>
  <si>
    <t>Update</t>
  </si>
  <si>
    <t>Status</t>
  </si>
  <si>
    <t>Joy Feeney</t>
  </si>
  <si>
    <t>Trent Marvin</t>
  </si>
  <si>
    <t>Bridget Ashington</t>
  </si>
  <si>
    <t>Johnny Kruger</t>
  </si>
  <si>
    <t>Ashley Depp</t>
  </si>
  <si>
    <t>Mizuhara Inoue</t>
  </si>
  <si>
    <t>Mike Trevor</t>
  </si>
  <si>
    <t>George Fredward</t>
  </si>
  <si>
    <t>Brian Fedrickson</t>
  </si>
  <si>
    <t>Elizabeth Holmes</t>
  </si>
  <si>
    <t>Trishia Benson</t>
  </si>
  <si>
    <t>Olivia Terrison</t>
  </si>
  <si>
    <t>Trevor Noah</t>
  </si>
  <si>
    <t>Ava Chen</t>
  </si>
  <si>
    <t>Alex Freburg</t>
  </si>
  <si>
    <t>Stanley Hudson</t>
  </si>
  <si>
    <t>Josh Michealson</t>
  </si>
  <si>
    <t>Micheal Volkov</t>
  </si>
  <si>
    <t>C</t>
  </si>
  <si>
    <t>P</t>
  </si>
  <si>
    <t>R</t>
  </si>
  <si>
    <t>On Time?</t>
  </si>
  <si>
    <t xml:space="preserve">NAME </t>
  </si>
  <si>
    <t>EMAIL ID</t>
  </si>
  <si>
    <t>JoyFeeney@gmail.com</t>
  </si>
  <si>
    <t>TrevorNoah@gmail.com</t>
  </si>
  <si>
    <t>TrentMarv99@yahoo.com</t>
  </si>
  <si>
    <t>BridgetAsh97@gmail.com</t>
  </si>
  <si>
    <t>JohnnyK@aoc.co.uk</t>
  </si>
  <si>
    <t>Ashley.depp@yahoo.com</t>
  </si>
  <si>
    <t>MizuharaInuoue@gmail.com</t>
  </si>
  <si>
    <t>MikeTrevor@aoc.co.uk</t>
  </si>
  <si>
    <t>GeorgeFred007@yahoo.com</t>
  </si>
  <si>
    <t>BrianFedrickson@yahoo.com</t>
  </si>
  <si>
    <t>Elizabeth-holmes@aoc.co.uk</t>
  </si>
  <si>
    <t>TrishiaBen90@gmail.com</t>
  </si>
  <si>
    <t>OliviaT98@yahoo.com</t>
  </si>
  <si>
    <t>Ava.Chen99@yahoo.com</t>
  </si>
  <si>
    <t>AlexFreburg@aoc.co.uk</t>
  </si>
  <si>
    <t>StanHudson@yahoo.com</t>
  </si>
  <si>
    <t>JoshMicheal.son@gmail.com</t>
  </si>
  <si>
    <t>MichealVolkov96@gmail.com</t>
  </si>
  <si>
    <t xml:space="preserve">Days Left </t>
  </si>
  <si>
    <t>Chris Hawkins</t>
  </si>
  <si>
    <t>Chrishawk@gmail.com</t>
  </si>
  <si>
    <t>Mary Poppings</t>
  </si>
  <si>
    <t>Marypoppings98@gmail.com</t>
  </si>
  <si>
    <t>PLEASE INPUT YOUR INFORMATION IN THE TEXTBOX</t>
  </si>
  <si>
    <t>Franklin Pugh</t>
  </si>
  <si>
    <t>Frank-pugh@aoc.co.uk</t>
  </si>
  <si>
    <t>Mathew Hopkins</t>
  </si>
  <si>
    <t xml:space="preserve"> </t>
  </si>
  <si>
    <t>Chris Hemmingway</t>
  </si>
  <si>
    <t xml:space="preserve">     </t>
  </si>
  <si>
    <t>David Bowey</t>
  </si>
  <si>
    <t>Davidbowey@aoc.co.uk</t>
  </si>
  <si>
    <t>Stella Maris</t>
  </si>
  <si>
    <t>StellaM96@yahoo.com</t>
  </si>
  <si>
    <t>ASSIGNED TASK</t>
  </si>
  <si>
    <t>FIRST NAME</t>
  </si>
  <si>
    <t>LAST NAME</t>
  </si>
  <si>
    <t>Stella Ausbourne</t>
  </si>
  <si>
    <t>Belinda Moore</t>
  </si>
  <si>
    <t>LindaMoore@yahoo.com</t>
  </si>
  <si>
    <t>Elijah Tumbleton</t>
  </si>
  <si>
    <t>Elitumbleton@aoc.co.uk</t>
  </si>
  <si>
    <t>Nicole Wattson</t>
  </si>
  <si>
    <t>NickyWattson99@gmail.com</t>
  </si>
  <si>
    <t>Create a report on company's marketing strategy</t>
  </si>
  <si>
    <t>Bookkeeping</t>
  </si>
  <si>
    <t>Payroll processing</t>
  </si>
  <si>
    <t>Financial reporting</t>
  </si>
  <si>
    <t>Budgeting</t>
  </si>
  <si>
    <t>Expense tracking</t>
  </si>
  <si>
    <t>Invoice processing</t>
  </si>
  <si>
    <t>Bank reconciliations</t>
  </si>
  <si>
    <t>Credit control</t>
  </si>
  <si>
    <t>Data entry</t>
  </si>
  <si>
    <t>Financial analysis</t>
  </si>
  <si>
    <t>Forecasting</t>
  </si>
  <si>
    <t>Scheduling meetings</t>
  </si>
  <si>
    <t>Travel arrangements</t>
  </si>
  <si>
    <t>Records management</t>
  </si>
  <si>
    <t>Auditing</t>
  </si>
  <si>
    <t>Financial modeling</t>
  </si>
  <si>
    <t>Risk management</t>
  </si>
  <si>
    <t>Tax preparation</t>
  </si>
  <si>
    <t>Financial planning</t>
  </si>
  <si>
    <t>Budget analysis</t>
  </si>
  <si>
    <t>Cash flow management</t>
  </si>
  <si>
    <t>Email management</t>
  </si>
  <si>
    <t>Variance analysis</t>
  </si>
  <si>
    <t>Accounts reconciliation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</si>
</sst>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Arial Black"/>
      <family val="2"/>
    </font>
    <font>
      <b/>
      <sz val="14"/>
      <color theme="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14" fontId="0" fillId="0" borderId="1" xfId="0" applyNumberFormat="1" applyBorder="1"/>
    <xf numFmtId="0" fontId="0" fillId="0" borderId="1" xfId="0" applyBorder="1"/>
    <xf numFmtId="0" fontId="0" fillId="0" borderId="7" xfId="0" applyBorder="1"/>
    <xf numFmtId="14" fontId="0" fillId="0" borderId="8" xfId="0" applyNumberFormat="1" applyBorder="1"/>
    <xf numFmtId="0" fontId="0" fillId="0" borderId="8" xfId="0" applyBorder="1"/>
    <xf numFmtId="14" fontId="0" fillId="0" borderId="0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0" xfId="0" applyFont="1" applyFill="1"/>
    <xf numFmtId="0" fontId="0" fillId="4" borderId="0" xfId="0" applyFill="1"/>
    <xf numFmtId="0" fontId="3" fillId="4" borderId="0" xfId="0" applyFont="1" applyFill="1" applyAlignment="1">
      <alignment horizontal="left" indent="5"/>
    </xf>
    <xf numFmtId="0" fontId="0" fillId="4" borderId="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0" xfId="0" applyFont="1" applyFill="1" applyBorder="1" applyAlignment="1">
      <alignment wrapText="1"/>
    </xf>
    <xf numFmtId="0" fontId="1" fillId="0" borderId="0" xfId="1" applyFont="1" applyAlignment="1">
      <alignment wrapText="1"/>
    </xf>
    <xf numFmtId="0" fontId="0" fillId="0" borderId="0" xfId="0" applyAlignment="1">
      <alignment wrapText="1"/>
    </xf>
    <xf numFmtId="0" fontId="0" fillId="3" borderId="0" xfId="0" applyFont="1" applyFill="1" applyBorder="1" applyAlignment="1">
      <alignment wrapText="1"/>
    </xf>
    <xf numFmtId="0" fontId="0" fillId="2" borderId="1" xfId="0" applyFont="1" applyFill="1" applyBorder="1" applyAlignment="1">
      <alignment wrapText="1"/>
    </xf>
    <xf numFmtId="0" fontId="0" fillId="3" borderId="1" xfId="0" applyFont="1" applyFill="1" applyBorder="1" applyAlignment="1">
      <alignment wrapText="1"/>
    </xf>
    <xf numFmtId="0" fontId="0" fillId="0" borderId="0" xfId="0" applyNumberFormat="1" applyAlignment="1">
      <alignment wrapText="1"/>
    </xf>
  </cellXfs>
  <cellStyles count="2">
    <cellStyle name="Hyperlink" xfId="1" builtinId="8"/>
    <cellStyle name="Normal" xfId="0" builtinId="0"/>
  </cellStyles>
  <dxfs count="28"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8</xdr:row>
          <xdr:rowOff>85725</xdr:rowOff>
        </xdr:from>
        <xdr:to>
          <xdr:col>11</xdr:col>
          <xdr:colOff>438150</xdr:colOff>
          <xdr:row>10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K23" totalsRowShown="0" headerRowDxfId="21" headerRowBorderDxfId="20" tableBorderDxfId="19" totalsRowBorderDxfId="18">
  <autoFilter ref="A1:K23"/>
  <tableColumns count="11">
    <tableColumn id="1" name="Sr. No. " dataDxfId="17"/>
    <tableColumn id="2" name="Date" dataDxfId="16"/>
    <tableColumn id="3" name="Task Details" dataDxfId="15"/>
    <tableColumn id="4" name="Responsibility" dataDxfId="14"/>
    <tableColumn id="5" name="Target Date" dataDxfId="13"/>
    <tableColumn id="6" name="Days Left " dataDxfId="12">
      <calculatedColumnFormula>Table2[[#This Row],[Target Date]] - Table2[[#This Row],[Date]]</calculatedColumnFormula>
    </tableColumn>
    <tableColumn id="8" name="Email ID" dataDxfId="11">
      <calculatedColumnFormula>INDEX('Name &amp; Email ID'!C$1:D$30,MATCH(D2,'Name &amp; Email ID'!C$1:C$30,0), 2)</calculatedColumnFormula>
    </tableColumn>
    <tableColumn id="9" name="Completion Date" dataDxfId="10"/>
    <tableColumn id="10" name="Update" dataDxfId="9"/>
    <tableColumn id="11" name="Status" dataDxfId="8">
      <calculatedColumnFormula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calculatedColumnFormula>
    </tableColumn>
    <tableColumn id="12" name="On Time?" dataDxfId="7">
      <calculatedColumnFormula>IF(OR(Table2[[#This Row],[Status]] = "Completed", Table2[[#This Row],[Status]] = "Days Left "), "Yes", IF(OR(Table2[[#This Row],[Status]] = "Overdue",Table2[[#This Row],[Status]]="Rough"),"No", " "))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C1:G30" totalsRowShown="0" dataDxfId="5">
  <autoFilter ref="C1:G30"/>
  <tableColumns count="5">
    <tableColumn id="1" name="NAME " dataDxfId="4"/>
    <tableColumn id="2" name="EMAIL ID" dataDxfId="3"/>
    <tableColumn id="3" name="ASSIGNED TASK" dataDxfId="2"/>
    <tableColumn id="4" name="FIRST NAME" dataDxfId="1">
      <calculatedColumnFormula>TRIM(MID(Table1[[#This Row],[NAME ]],1,SEARCH(" ",Table1[[#This Row],[NAME ]])))</calculatedColumnFormula>
    </tableColumn>
    <tableColumn id="5" name="LAST NAME" dataDxfId="0">
      <calculatedColumnFormula>TRIM(MID(Table1[[#This Row],[NAME ]], SEARCH(" ",Table1[[#This Row],[NAME ]]), LEN(Table1[[#This Row],[NAME ]])))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GeorgeFred007@yahoo.com" TargetMode="External"/><Relationship Id="rId13" Type="http://schemas.openxmlformats.org/officeDocument/2006/relationships/hyperlink" Target="mailto:TrevorNoah@gmail.com" TargetMode="External"/><Relationship Id="rId18" Type="http://schemas.openxmlformats.org/officeDocument/2006/relationships/hyperlink" Target="mailto:MichealVolkov96@gmail.com" TargetMode="External"/><Relationship Id="rId3" Type="http://schemas.openxmlformats.org/officeDocument/2006/relationships/hyperlink" Target="mailto:BridgetAsh97@gmail.com" TargetMode="External"/><Relationship Id="rId7" Type="http://schemas.openxmlformats.org/officeDocument/2006/relationships/hyperlink" Target="mailto:MikeTrevor@aoc.co.uk" TargetMode="External"/><Relationship Id="rId12" Type="http://schemas.openxmlformats.org/officeDocument/2006/relationships/hyperlink" Target="mailto:OliviaT98@yahoo.com" TargetMode="External"/><Relationship Id="rId17" Type="http://schemas.openxmlformats.org/officeDocument/2006/relationships/hyperlink" Target="mailto:JoshMicheal.son@gmail.com" TargetMode="External"/><Relationship Id="rId2" Type="http://schemas.openxmlformats.org/officeDocument/2006/relationships/hyperlink" Target="mailto:TrentMarv99@yahoo.com" TargetMode="External"/><Relationship Id="rId16" Type="http://schemas.openxmlformats.org/officeDocument/2006/relationships/hyperlink" Target="mailto:StanHudson@yahoo.com" TargetMode="External"/><Relationship Id="rId20" Type="http://schemas.openxmlformats.org/officeDocument/2006/relationships/table" Target="../tables/table2.xml"/><Relationship Id="rId1" Type="http://schemas.openxmlformats.org/officeDocument/2006/relationships/hyperlink" Target="mailto:JoyFeeney@gmail.com" TargetMode="External"/><Relationship Id="rId6" Type="http://schemas.openxmlformats.org/officeDocument/2006/relationships/hyperlink" Target="mailto:MizuharaInuoue@gmail.com" TargetMode="External"/><Relationship Id="rId11" Type="http://schemas.openxmlformats.org/officeDocument/2006/relationships/hyperlink" Target="mailto:TrishiaBen90@gmail.com" TargetMode="External"/><Relationship Id="rId5" Type="http://schemas.openxmlformats.org/officeDocument/2006/relationships/hyperlink" Target="mailto:Ashley.depp@yahoo.com" TargetMode="External"/><Relationship Id="rId15" Type="http://schemas.openxmlformats.org/officeDocument/2006/relationships/hyperlink" Target="mailto:AlexFreburg@aoc.co.uk" TargetMode="External"/><Relationship Id="rId10" Type="http://schemas.openxmlformats.org/officeDocument/2006/relationships/hyperlink" Target="mailto:Elizabeth-holmes@aoc.co.uk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mailto:JohnnyK@aoc.co.uk" TargetMode="External"/><Relationship Id="rId9" Type="http://schemas.openxmlformats.org/officeDocument/2006/relationships/hyperlink" Target="mailto:BrianFedrickson@yahoo.com" TargetMode="External"/><Relationship Id="rId14" Type="http://schemas.openxmlformats.org/officeDocument/2006/relationships/hyperlink" Target="mailto:Ava.Chen99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3"/>
  <sheetViews>
    <sheetView zoomScale="93" zoomScaleNormal="93" workbookViewId="0">
      <selection activeCell="C23" sqref="C23"/>
    </sheetView>
  </sheetViews>
  <sheetFormatPr defaultRowHeight="15" x14ac:dyDescent="0.25"/>
  <cols>
    <col min="1" max="1" width="9.42578125" customWidth="1"/>
    <col min="2" max="2" width="12" customWidth="1"/>
    <col min="3" max="3" width="30.140625" bestFit="1" customWidth="1"/>
    <col min="4" max="4" width="17" bestFit="1" customWidth="1"/>
    <col min="5" max="5" width="13.28515625" customWidth="1"/>
    <col min="6" max="6" width="12.5703125" customWidth="1"/>
    <col min="7" max="7" width="26.42578125" customWidth="1"/>
    <col min="8" max="8" width="21.85546875" customWidth="1"/>
    <col min="9" max="9" width="15.140625" customWidth="1"/>
    <col min="10" max="10" width="13.85546875" style="13" customWidth="1"/>
    <col min="11" max="11" width="12.5703125" style="13" customWidth="1"/>
    <col min="12" max="12" width="12.5703125" customWidth="1"/>
    <col min="13" max="13" width="14.85546875" customWidth="1"/>
  </cols>
  <sheetData>
    <row r="1" spans="1:14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11" t="s">
        <v>51</v>
      </c>
      <c r="G1" s="3" t="s">
        <v>5</v>
      </c>
      <c r="H1" s="3" t="s">
        <v>6</v>
      </c>
      <c r="I1" s="3" t="s">
        <v>7</v>
      </c>
      <c r="J1" s="14" t="s">
        <v>8</v>
      </c>
      <c r="K1" s="12" t="s">
        <v>30</v>
      </c>
      <c r="L1" s="1"/>
      <c r="M1" s="1"/>
      <c r="N1" s="1"/>
    </row>
    <row r="2" spans="1:14" x14ac:dyDescent="0.25">
      <c r="A2" s="4">
        <v>1</v>
      </c>
      <c r="B2" s="5">
        <v>43891</v>
      </c>
      <c r="C2" s="6" t="s">
        <v>86</v>
      </c>
      <c r="D2" s="6" t="s">
        <v>9</v>
      </c>
      <c r="E2" s="5">
        <v>43894</v>
      </c>
      <c r="F2" s="16">
        <f>Table2[[#This Row],[Target Date]] - Table2[[#This Row],[Date]]</f>
        <v>3</v>
      </c>
      <c r="G2" s="6" t="str">
        <f>INDEX('Name &amp; Email ID'!C:D,MATCH(D2,'Name &amp; Email ID'!C:C,0), 2)</f>
        <v>JoyFeeney@gmail.com</v>
      </c>
      <c r="H2" s="6"/>
      <c r="I2" s="21" t="s">
        <v>27</v>
      </c>
      <c r="J2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Completed</v>
      </c>
      <c r="K2" s="12" t="str">
        <f ca="1">IF(OR(Table2[[#This Row],[Status]] = "Completed", Table2[[#This Row],[Status]] = "Days Left "), "Yes", IF(OR(Table2[[#This Row],[Status]] = "Overdue",Table2[[#This Row],[Status]]="Rough"),"No", " "))</f>
        <v>Yes</v>
      </c>
      <c r="L2" s="1"/>
      <c r="M2" s="1"/>
      <c r="N2" s="1"/>
    </row>
    <row r="3" spans="1:14" x14ac:dyDescent="0.25">
      <c r="A3" s="4">
        <v>2</v>
      </c>
      <c r="B3" s="5">
        <v>43892</v>
      </c>
      <c r="C3" s="6" t="s">
        <v>78</v>
      </c>
      <c r="D3" s="6" t="s">
        <v>10</v>
      </c>
      <c r="E3" s="5">
        <v>45786</v>
      </c>
      <c r="F3" s="16">
        <f>Table2[[#This Row],[Target Date]] - Table2[[#This Row],[Date]]</f>
        <v>1894</v>
      </c>
      <c r="G3" s="6" t="str">
        <f>INDEX('Name &amp; Email ID'!C:D,MATCH(D3,'Name &amp; Email ID'!C:C,0), 2)</f>
        <v>TrentMarv99@yahoo.com</v>
      </c>
      <c r="H3" s="6"/>
      <c r="I3" s="21" t="s">
        <v>28</v>
      </c>
      <c r="J3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Days Left -236</v>
      </c>
      <c r="K3" s="12" t="str">
        <f ca="1">IF(OR(Table2[[#This Row],[Status]] = "Completed", Table2[[#This Row],[Status]] = "Days Left "), "Yes", IF(OR(Table2[[#This Row],[Status]] = "Overdue",Table2[[#This Row],[Status]]="Rough"),"No", " "))</f>
        <v xml:space="preserve"> </v>
      </c>
      <c r="L3" s="1"/>
      <c r="M3" s="1"/>
      <c r="N3" s="1"/>
    </row>
    <row r="4" spans="1:14" x14ac:dyDescent="0.25">
      <c r="A4" s="4">
        <v>3</v>
      </c>
      <c r="B4" s="5">
        <v>43893</v>
      </c>
      <c r="C4" s="6" t="s">
        <v>79</v>
      </c>
      <c r="D4" s="6" t="s">
        <v>11</v>
      </c>
      <c r="E4" s="5">
        <v>44181</v>
      </c>
      <c r="F4" s="16">
        <f>Table2[[#This Row],[Target Date]] - Table2[[#This Row],[Date]]</f>
        <v>288</v>
      </c>
      <c r="G4" s="6" t="str">
        <f>INDEX('Name &amp; Email ID'!C:D,MATCH(D4,'Name &amp; Email ID'!C:C,0), 2)</f>
        <v>BridgetAsh97@gmail.com</v>
      </c>
      <c r="H4" s="6"/>
      <c r="I4" s="21" t="s">
        <v>28</v>
      </c>
      <c r="J4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4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4" s="1"/>
    </row>
    <row r="5" spans="1:14" x14ac:dyDescent="0.25">
      <c r="A5" s="4">
        <v>4</v>
      </c>
      <c r="B5" s="5">
        <v>43894</v>
      </c>
      <c r="C5" s="6" t="s">
        <v>80</v>
      </c>
      <c r="D5" s="6" t="s">
        <v>12</v>
      </c>
      <c r="E5" s="5">
        <v>45516</v>
      </c>
      <c r="F5" s="16">
        <f>Table2[[#This Row],[Target Date]] - Table2[[#This Row],[Date]]</f>
        <v>1622</v>
      </c>
      <c r="G5" s="6" t="str">
        <f>INDEX('Name &amp; Email ID'!C:D,MATCH(D5,'Name &amp; Email ID'!C:C,0), 2)</f>
        <v>JohnnyK@aoc.co.uk</v>
      </c>
      <c r="H5" s="6"/>
      <c r="I5" s="21" t="s">
        <v>28</v>
      </c>
      <c r="J5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5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5" s="1"/>
    </row>
    <row r="6" spans="1:14" x14ac:dyDescent="0.25">
      <c r="A6" s="4">
        <v>5</v>
      </c>
      <c r="B6" s="5">
        <v>43895</v>
      </c>
      <c r="C6" s="6" t="s">
        <v>81</v>
      </c>
      <c r="D6" s="6" t="s">
        <v>13</v>
      </c>
      <c r="E6" s="5">
        <v>44082</v>
      </c>
      <c r="F6" s="16">
        <f>Table2[[#This Row],[Target Date]] - Table2[[#This Row],[Date]]</f>
        <v>187</v>
      </c>
      <c r="G6" s="6" t="str">
        <f>INDEX('Name &amp; Email ID'!C:D,MATCH(D6,'Name &amp; Email ID'!C:C,0), 2)</f>
        <v>Ashley.depp@yahoo.com</v>
      </c>
      <c r="H6" s="6"/>
      <c r="I6" s="21" t="s">
        <v>27</v>
      </c>
      <c r="J6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Completed</v>
      </c>
      <c r="K6" s="12" t="str">
        <f ca="1">IF(OR(Table2[[#This Row],[Status]] = "Completed", Table2[[#This Row],[Status]] = "Days Left "), "Yes", IF(OR(Table2[[#This Row],[Status]] = "Overdue",Table2[[#This Row],[Status]]="Rough"),"No", " "))</f>
        <v>Yes</v>
      </c>
      <c r="L6" s="10"/>
    </row>
    <row r="7" spans="1:14" x14ac:dyDescent="0.25">
      <c r="A7" s="4">
        <v>6</v>
      </c>
      <c r="B7" s="5">
        <v>43896</v>
      </c>
      <c r="C7" s="6" t="s">
        <v>82</v>
      </c>
      <c r="D7" s="6" t="s">
        <v>14</v>
      </c>
      <c r="E7" s="5">
        <v>43905</v>
      </c>
      <c r="F7" s="16">
        <f>Table2[[#This Row],[Target Date]] - Table2[[#This Row],[Date]]</f>
        <v>9</v>
      </c>
      <c r="G7" s="6" t="str">
        <f>INDEX('Name &amp; Email ID'!C:D,MATCH(D7,'Name &amp; Email ID'!C:C,0), 2)</f>
        <v>MizuharaInuoue@gmail.com</v>
      </c>
      <c r="H7" s="6"/>
      <c r="I7" s="21" t="s">
        <v>29</v>
      </c>
      <c r="J7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Rough</v>
      </c>
      <c r="K7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7" s="1"/>
    </row>
    <row r="8" spans="1:14" x14ac:dyDescent="0.25">
      <c r="A8" s="4">
        <v>7</v>
      </c>
      <c r="B8" s="5">
        <v>43897</v>
      </c>
      <c r="C8" s="6" t="s">
        <v>83</v>
      </c>
      <c r="D8" s="6" t="s">
        <v>15</v>
      </c>
      <c r="E8" s="5">
        <v>45845</v>
      </c>
      <c r="F8" s="16">
        <f>Table2[[#This Row],[Target Date]] - Table2[[#This Row],[Date]]</f>
        <v>1948</v>
      </c>
      <c r="G8" s="6" t="str">
        <f>INDEX('Name &amp; Email ID'!C:D,MATCH(D8,'Name &amp; Email ID'!C:C,0), 2)</f>
        <v>MikeTrevor@aoc.co.uk</v>
      </c>
      <c r="H8" s="6"/>
      <c r="I8" s="21" t="s">
        <v>28</v>
      </c>
      <c r="J8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Days Left -295</v>
      </c>
      <c r="K8" s="12" t="str">
        <f ca="1">IF(OR(Table2[[#This Row],[Status]] = "Completed", Table2[[#This Row],[Status]] = "Days Left "), "Yes", IF(OR(Table2[[#This Row],[Status]] = "Overdue",Table2[[#This Row],[Status]]="Rough"),"No", " "))</f>
        <v xml:space="preserve"> </v>
      </c>
      <c r="L8" s="1"/>
    </row>
    <row r="9" spans="1:14" x14ac:dyDescent="0.25">
      <c r="A9" s="4">
        <v>8</v>
      </c>
      <c r="B9" s="5">
        <v>43898</v>
      </c>
      <c r="C9" s="6" t="s">
        <v>84</v>
      </c>
      <c r="D9" s="6" t="s">
        <v>16</v>
      </c>
      <c r="E9" s="5">
        <v>44036</v>
      </c>
      <c r="F9" s="16">
        <f>Table2[[#This Row],[Target Date]] - Table2[[#This Row],[Date]]</f>
        <v>138</v>
      </c>
      <c r="G9" s="6" t="str">
        <f>INDEX('Name &amp; Email ID'!C:D,MATCH(D9,'Name &amp; Email ID'!C:C,0), 2)</f>
        <v>GeorgeFred007@yahoo.com</v>
      </c>
      <c r="H9" s="6"/>
      <c r="I9" s="21" t="s">
        <v>27</v>
      </c>
      <c r="J9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Completed</v>
      </c>
      <c r="K9" s="12" t="str">
        <f ca="1">IF(OR(Table2[[#This Row],[Status]] = "Completed", Table2[[#This Row],[Status]] = "Days Left "), "Yes", IF(OR(Table2[[#This Row],[Status]] = "Overdue",Table2[[#This Row],[Status]]="Rough"),"No", " "))</f>
        <v>Yes</v>
      </c>
      <c r="L9" s="1"/>
    </row>
    <row r="10" spans="1:14" x14ac:dyDescent="0.25">
      <c r="A10" s="4">
        <v>9</v>
      </c>
      <c r="B10" s="5">
        <v>43899</v>
      </c>
      <c r="C10" s="6" t="s">
        <v>85</v>
      </c>
      <c r="D10" s="6" t="s">
        <v>17</v>
      </c>
      <c r="E10" s="5">
        <v>44160</v>
      </c>
      <c r="F10" s="16">
        <f>Table2[[#This Row],[Target Date]] - Table2[[#This Row],[Date]]</f>
        <v>261</v>
      </c>
      <c r="G10" s="6" t="str">
        <f>INDEX('Name &amp; Email ID'!C:D,MATCH(D10,'Name &amp; Email ID'!C:C,0), 2)</f>
        <v>BrianFedrickson@yahoo.com</v>
      </c>
      <c r="H10" s="6"/>
      <c r="I10" s="21" t="s">
        <v>28</v>
      </c>
      <c r="J10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10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10" s="1"/>
    </row>
    <row r="11" spans="1:14" x14ac:dyDescent="0.25">
      <c r="A11" s="4">
        <v>10</v>
      </c>
      <c r="B11" s="5">
        <v>43900</v>
      </c>
      <c r="C11" s="6" t="s">
        <v>87</v>
      </c>
      <c r="D11" s="6" t="s">
        <v>18</v>
      </c>
      <c r="E11" s="5">
        <v>44110</v>
      </c>
      <c r="F11" s="16">
        <f>Table2[[#This Row],[Target Date]] - Table2[[#This Row],[Date]]</f>
        <v>210</v>
      </c>
      <c r="G11" s="6" t="str">
        <f>INDEX('Name &amp; Email ID'!C:D,MATCH(D11,'Name &amp; Email ID'!C:C,0), 2)</f>
        <v>Elizabeth-holmes@aoc.co.uk</v>
      </c>
      <c r="H11" s="6"/>
      <c r="I11" s="21" t="s">
        <v>29</v>
      </c>
      <c r="J11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Rough</v>
      </c>
      <c r="K11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11" s="1"/>
    </row>
    <row r="12" spans="1:14" x14ac:dyDescent="0.25">
      <c r="A12" s="4">
        <v>11</v>
      </c>
      <c r="B12" s="5">
        <v>43901</v>
      </c>
      <c r="C12" s="6" t="s">
        <v>88</v>
      </c>
      <c r="D12" s="6" t="s">
        <v>9</v>
      </c>
      <c r="E12" s="5">
        <v>44111</v>
      </c>
      <c r="F12" s="16">
        <f>Table2[[#This Row],[Target Date]] - Table2[[#This Row],[Date]]</f>
        <v>210</v>
      </c>
      <c r="G12" s="6" t="str">
        <f>INDEX('Name &amp; Email ID'!C:D,MATCH(D12,'Name &amp; Email ID'!C:C,0), 2)</f>
        <v>JoyFeeney@gmail.com</v>
      </c>
      <c r="H12" s="6"/>
      <c r="I12" s="21" t="s">
        <v>27</v>
      </c>
      <c r="J12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Completed</v>
      </c>
      <c r="K12" s="12" t="str">
        <f ca="1">IF(OR(Table2[[#This Row],[Status]] = "Completed", Table2[[#This Row],[Status]] = "Days Left "), "Yes", IF(OR(Table2[[#This Row],[Status]] = "Overdue",Table2[[#This Row],[Status]]="Rough"),"No", " "))</f>
        <v>Yes</v>
      </c>
      <c r="L12" s="1"/>
    </row>
    <row r="13" spans="1:14" x14ac:dyDescent="0.25">
      <c r="A13" s="4">
        <v>12</v>
      </c>
      <c r="B13" s="5">
        <v>43902</v>
      </c>
      <c r="C13" s="6" t="s">
        <v>89</v>
      </c>
      <c r="D13" s="6" t="s">
        <v>19</v>
      </c>
      <c r="E13" s="5">
        <v>45573</v>
      </c>
      <c r="F13" s="16">
        <f>Table2[[#This Row],[Target Date]] - Table2[[#This Row],[Date]]</f>
        <v>1671</v>
      </c>
      <c r="G13" s="6" t="str">
        <f>INDEX('Name &amp; Email ID'!C:D,MATCH(D13,'Name &amp; Email ID'!C:C,0), 2)</f>
        <v>TrishiaBen90@gmail.com</v>
      </c>
      <c r="H13" s="6"/>
      <c r="I13" s="21" t="s">
        <v>28</v>
      </c>
      <c r="J13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Days Left -23</v>
      </c>
      <c r="K13" s="12" t="str">
        <f ca="1">IF(OR(Table2[[#This Row],[Status]] = "Completed", Table2[[#This Row],[Status]] = "Days Left "), "Yes", IF(OR(Table2[[#This Row],[Status]] = "Overdue",Table2[[#This Row],[Status]]="Rough"),"No", " "))</f>
        <v xml:space="preserve"> </v>
      </c>
      <c r="L13" s="1"/>
    </row>
    <row r="14" spans="1:14" x14ac:dyDescent="0.25">
      <c r="A14" s="4">
        <v>13</v>
      </c>
      <c r="B14" s="5">
        <v>43903</v>
      </c>
      <c r="C14" s="6" t="s">
        <v>90</v>
      </c>
      <c r="D14" s="6" t="s">
        <v>20</v>
      </c>
      <c r="E14" s="5">
        <v>44113</v>
      </c>
      <c r="F14" s="16">
        <f>Table2[[#This Row],[Target Date]] - Table2[[#This Row],[Date]]</f>
        <v>210</v>
      </c>
      <c r="G14" s="6" t="str">
        <f>INDEX('Name &amp; Email ID'!C:D,MATCH(D14,'Name &amp; Email ID'!C:C,0), 2)</f>
        <v>OliviaT98@yahoo.com</v>
      </c>
      <c r="H14" s="6"/>
      <c r="I14" s="21" t="s">
        <v>28</v>
      </c>
      <c r="J14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14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14" s="1"/>
    </row>
    <row r="15" spans="1:14" x14ac:dyDescent="0.25">
      <c r="A15" s="4">
        <v>14</v>
      </c>
      <c r="B15" s="5">
        <v>43904</v>
      </c>
      <c r="C15" s="6" t="s">
        <v>91</v>
      </c>
      <c r="D15" s="6" t="s">
        <v>13</v>
      </c>
      <c r="E15" s="5">
        <v>45575</v>
      </c>
      <c r="F15" s="16">
        <f>Table2[[#This Row],[Target Date]] - Table2[[#This Row],[Date]]</f>
        <v>1671</v>
      </c>
      <c r="G15" s="6" t="str">
        <f>INDEX('Name &amp; Email ID'!C:D,MATCH(D15,'Name &amp; Email ID'!C:C,0), 2)</f>
        <v>Ashley.depp@yahoo.com</v>
      </c>
      <c r="H15" s="6"/>
      <c r="I15" s="21" t="s">
        <v>28</v>
      </c>
      <c r="J15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Days Left -25</v>
      </c>
      <c r="K15" s="12" t="str">
        <f ca="1">IF(OR(Table2[[#This Row],[Status]] = "Completed", Table2[[#This Row],[Status]] = "Days Left "), "Yes", IF(OR(Table2[[#This Row],[Status]] = "Overdue",Table2[[#This Row],[Status]]="Rough"),"No", " "))</f>
        <v xml:space="preserve"> </v>
      </c>
      <c r="L15" s="1"/>
    </row>
    <row r="16" spans="1:14" x14ac:dyDescent="0.25">
      <c r="A16" s="4">
        <v>15</v>
      </c>
      <c r="B16" s="5">
        <v>43905</v>
      </c>
      <c r="C16" s="6" t="s">
        <v>92</v>
      </c>
      <c r="D16" s="6" t="s">
        <v>10</v>
      </c>
      <c r="E16" s="5">
        <v>44115</v>
      </c>
      <c r="F16" s="16">
        <f>Table2[[#This Row],[Target Date]] - Table2[[#This Row],[Date]]</f>
        <v>210</v>
      </c>
      <c r="G16" s="6" t="str">
        <f>INDEX('Name &amp; Email ID'!C:D,MATCH(D16,'Name &amp; Email ID'!C:C,0), 2)</f>
        <v>TrentMarv99@yahoo.com</v>
      </c>
      <c r="H16" s="6"/>
      <c r="I16" s="21" t="s">
        <v>27</v>
      </c>
      <c r="J16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Completed</v>
      </c>
      <c r="K16" s="12" t="str">
        <f ca="1">IF(OR(Table2[[#This Row],[Status]] = "Completed", Table2[[#This Row],[Status]] = "Days Left "), "Yes", IF(OR(Table2[[#This Row],[Status]] = "Overdue",Table2[[#This Row],[Status]]="Rough"),"No", " "))</f>
        <v>Yes</v>
      </c>
      <c r="L16" s="1"/>
    </row>
    <row r="17" spans="1:12" x14ac:dyDescent="0.25">
      <c r="A17" s="4">
        <v>16</v>
      </c>
      <c r="B17" s="5">
        <v>43906</v>
      </c>
      <c r="C17" s="6" t="s">
        <v>93</v>
      </c>
      <c r="D17" s="6" t="s">
        <v>21</v>
      </c>
      <c r="E17" s="5">
        <v>44116</v>
      </c>
      <c r="F17" s="16">
        <f>Table2[[#This Row],[Target Date]] - Table2[[#This Row],[Date]]</f>
        <v>210</v>
      </c>
      <c r="G17" s="6" t="str">
        <f>INDEX('Name &amp; Email ID'!C:D,MATCH(D17,'Name &amp; Email ID'!C:C,0), 2)</f>
        <v>TrevorNoah@gmail.com</v>
      </c>
      <c r="H17" s="6"/>
      <c r="I17" s="21" t="s">
        <v>28</v>
      </c>
      <c r="J17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17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17" s="1"/>
    </row>
    <row r="18" spans="1:12" x14ac:dyDescent="0.25">
      <c r="A18" s="4">
        <v>17</v>
      </c>
      <c r="B18" s="5">
        <v>43907</v>
      </c>
      <c r="C18" s="6" t="s">
        <v>94</v>
      </c>
      <c r="D18" s="6" t="s">
        <v>11</v>
      </c>
      <c r="E18" s="5">
        <v>44117</v>
      </c>
      <c r="F18" s="16">
        <f>Table2[[#This Row],[Target Date]] - Table2[[#This Row],[Date]]</f>
        <v>210</v>
      </c>
      <c r="G18" s="6" t="str">
        <f>INDEX('Name &amp; Email ID'!C:D,MATCH(D18,'Name &amp; Email ID'!C:C,0), 2)</f>
        <v>BridgetAsh97@gmail.com</v>
      </c>
      <c r="H18" s="6"/>
      <c r="I18" s="21" t="s">
        <v>28</v>
      </c>
      <c r="J18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18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18" s="1"/>
    </row>
    <row r="19" spans="1:12" x14ac:dyDescent="0.25">
      <c r="A19" s="4">
        <v>18</v>
      </c>
      <c r="B19" s="5">
        <v>43908</v>
      </c>
      <c r="C19" s="6" t="s">
        <v>95</v>
      </c>
      <c r="D19" s="6" t="s">
        <v>22</v>
      </c>
      <c r="E19" s="5">
        <v>46309</v>
      </c>
      <c r="F19" s="16">
        <f>Table2[[#This Row],[Target Date]] - Table2[[#This Row],[Date]]</f>
        <v>2401</v>
      </c>
      <c r="G19" s="6" t="str">
        <f>INDEX('Name &amp; Email ID'!C:D,MATCH(D19,'Name &amp; Email ID'!C:C,0), 2)</f>
        <v>Ava.Chen99@yahoo.com</v>
      </c>
      <c r="H19" s="6"/>
      <c r="I19" s="21" t="s">
        <v>28</v>
      </c>
      <c r="J19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Days Left -759</v>
      </c>
      <c r="K19" s="12" t="str">
        <f ca="1">IF(OR(Table2[[#This Row],[Status]] = "Completed", Table2[[#This Row],[Status]] = "Days Left "), "Yes", IF(OR(Table2[[#This Row],[Status]] = "Overdue",Table2[[#This Row],[Status]]="Rough"),"No", " "))</f>
        <v xml:space="preserve"> </v>
      </c>
      <c r="L19" s="1"/>
    </row>
    <row r="20" spans="1:12" x14ac:dyDescent="0.25">
      <c r="A20" s="4">
        <v>19</v>
      </c>
      <c r="B20" s="5">
        <v>43909</v>
      </c>
      <c r="C20" s="6" t="s">
        <v>96</v>
      </c>
      <c r="D20" s="6" t="s">
        <v>23</v>
      </c>
      <c r="E20" s="5">
        <v>44119</v>
      </c>
      <c r="F20" s="16">
        <f>Table2[[#This Row],[Target Date]] - Table2[[#This Row],[Date]]</f>
        <v>210</v>
      </c>
      <c r="G20" s="6" t="str">
        <f>INDEX('Name &amp; Email ID'!C:D,MATCH(D20,'Name &amp; Email ID'!C:C,0), 2)</f>
        <v>AlexFreburg@aoc.co.uk</v>
      </c>
      <c r="H20" s="6"/>
      <c r="I20" s="21" t="s">
        <v>27</v>
      </c>
      <c r="J20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Completed</v>
      </c>
      <c r="K20" s="12" t="str">
        <f ca="1">IF(OR(Table2[[#This Row],[Status]] = "Completed", Table2[[#This Row],[Status]] = "Days Left "), "Yes", IF(OR(Table2[[#This Row],[Status]] = "Overdue",Table2[[#This Row],[Status]]="Rough"),"No", " "))</f>
        <v>Yes</v>
      </c>
      <c r="L20" s="1"/>
    </row>
    <row r="21" spans="1:12" x14ac:dyDescent="0.25">
      <c r="A21" s="4">
        <v>20</v>
      </c>
      <c r="B21" s="5">
        <v>43910</v>
      </c>
      <c r="C21" s="6" t="s">
        <v>97</v>
      </c>
      <c r="D21" s="6" t="s">
        <v>24</v>
      </c>
      <c r="E21" s="5">
        <v>44120</v>
      </c>
      <c r="F21" s="16">
        <f>Table2[[#This Row],[Target Date]] - Table2[[#This Row],[Date]]</f>
        <v>210</v>
      </c>
      <c r="G21" s="6" t="str">
        <f>INDEX('Name &amp; Email ID'!C:D,MATCH(D21,'Name &amp; Email ID'!C:C,0), 2)</f>
        <v>StanHudson@yahoo.com</v>
      </c>
      <c r="H21" s="6"/>
      <c r="I21" s="21" t="s">
        <v>29</v>
      </c>
      <c r="J21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Rough</v>
      </c>
      <c r="K21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21" s="1"/>
    </row>
    <row r="22" spans="1:12" x14ac:dyDescent="0.25">
      <c r="A22" s="4">
        <v>21</v>
      </c>
      <c r="B22" s="5">
        <v>43911</v>
      </c>
      <c r="C22" s="6" t="s">
        <v>98</v>
      </c>
      <c r="D22" s="6" t="s">
        <v>25</v>
      </c>
      <c r="E22" s="5">
        <v>45947</v>
      </c>
      <c r="F22" s="16">
        <f>Table2[[#This Row],[Target Date]] - Table2[[#This Row],[Date]]</f>
        <v>2036</v>
      </c>
      <c r="G22" s="6" t="str">
        <f>INDEX('Name &amp; Email ID'!C:D,MATCH(D22,'Name &amp; Email ID'!C:C,0), 2)</f>
        <v>JoshMicheal.son@gmail.com</v>
      </c>
      <c r="H22" s="6"/>
      <c r="I22" s="21" t="s">
        <v>28</v>
      </c>
      <c r="J22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Days Left -397</v>
      </c>
      <c r="K22" s="12" t="str">
        <f ca="1">IF(OR(Table2[[#This Row],[Status]] = "Completed", Table2[[#This Row],[Status]] = "Days Left "), "Yes", IF(OR(Table2[[#This Row],[Status]] = "Overdue",Table2[[#This Row],[Status]]="Rough"),"No", " "))</f>
        <v xml:space="preserve"> </v>
      </c>
      <c r="L22" s="1"/>
    </row>
    <row r="23" spans="1:12" x14ac:dyDescent="0.25">
      <c r="A23" s="7">
        <v>22</v>
      </c>
      <c r="B23" s="8">
        <v>43912</v>
      </c>
      <c r="C23" s="9" t="s">
        <v>99</v>
      </c>
      <c r="D23" s="9" t="s">
        <v>26</v>
      </c>
      <c r="E23" s="8">
        <v>44122</v>
      </c>
      <c r="F23" s="17">
        <f>Table2[[#This Row],[Target Date]] - Table2[[#This Row],[Date]]</f>
        <v>210</v>
      </c>
      <c r="G23" s="6" t="str">
        <f>INDEX('Name &amp; Email ID'!C:D,MATCH(D23,'Name &amp; Email ID'!C:C,0), 2)</f>
        <v>MichealVolkov96@gmail.com</v>
      </c>
      <c r="H23" s="9"/>
      <c r="I23" s="22" t="s">
        <v>28</v>
      </c>
      <c r="J23" s="15" t="str">
        <f ca="1">IF(Table2[[#This Row],[Update]]="C", "Completed", IF(Table2[[#This Row],[Update]] = "R", "Rough",  IF(AND(Table2[[#This Row],[Update]]="P", TODAY() &lt;= Table2[[#This Row],[Target Date]]), "Days Left "&amp;TODAY()-Table2[[#This Row],[Target Date]],  IF(AND(Table2[[#This Row],[Update]]="P", TODAY() &gt;= Table2[[#This Row],[Target Date]]), "Overdue", " "))))</f>
        <v>Overdue</v>
      </c>
      <c r="K23" s="12" t="str">
        <f ca="1">IF(OR(Table2[[#This Row],[Status]] = "Completed", Table2[[#This Row],[Status]] = "Days Left "), "Yes", IF(OR(Table2[[#This Row],[Status]] = "Overdue",Table2[[#This Row],[Status]]="Rough"),"No", " "))</f>
        <v>No</v>
      </c>
      <c r="L23" s="1"/>
    </row>
  </sheetData>
  <conditionalFormatting sqref="M15">
    <cfRule type="duplicateValues" dxfId="27" priority="7"/>
  </conditionalFormatting>
  <conditionalFormatting sqref="M12">
    <cfRule type="notContainsBlanks" dxfId="26" priority="5">
      <formula>LEN(TRIM(M12))&gt;0</formula>
    </cfRule>
  </conditionalFormatting>
  <conditionalFormatting sqref="J2:J23">
    <cfRule type="containsText" dxfId="25" priority="2" operator="containsText" text="Days Left">
      <formula>NOT(ISERROR(SEARCH("Days Left",J2)))</formula>
    </cfRule>
    <cfRule type="containsText" dxfId="24" priority="3" operator="containsText" text="Overdue">
      <formula>NOT(ISERROR(SEARCH("Overdue",J2)))</formula>
    </cfRule>
    <cfRule type="containsText" dxfId="23" priority="4" operator="containsText" text="Completed">
      <formula>NOT(ISERROR(SEARCH("Completed",J2)))</formula>
    </cfRule>
  </conditionalFormatting>
  <conditionalFormatting sqref="J1:J1048576">
    <cfRule type="containsText" dxfId="22" priority="1" operator="containsText" text="Rough">
      <formula>NOT(ISERROR(SEARCH("Rough",J1)))</formula>
    </cfRule>
  </conditionalFormatting>
  <dataValidations count="2">
    <dataValidation type="list" allowBlank="1" showInputMessage="1" showErrorMessage="1" sqref="J1 J24:J1048576">
      <formula1>$N$1:$N$3</formula1>
    </dataValidation>
    <dataValidation type="list" allowBlank="1" showInputMessage="1" showErrorMessage="1" sqref="I2:I23">
      <formula1>"C, P, R"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F6:N6"/>
  <sheetViews>
    <sheetView showGridLines="0" tabSelected="1" topLeftCell="B1" workbookViewId="0">
      <selection activeCell="R7" sqref="R7"/>
    </sheetView>
  </sheetViews>
  <sheetFormatPr defaultRowHeight="15" x14ac:dyDescent="0.25"/>
  <cols>
    <col min="1" max="16384" width="9.140625" style="19"/>
  </cols>
  <sheetData>
    <row r="6" spans="6:14" ht="22.5" x14ac:dyDescent="0.45">
      <c r="F6" s="20" t="s">
        <v>56</v>
      </c>
      <c r="G6" s="18"/>
      <c r="H6" s="18"/>
      <c r="I6" s="18"/>
      <c r="J6" s="18"/>
      <c r="K6" s="18"/>
      <c r="L6" s="18"/>
      <c r="M6" s="18"/>
      <c r="N6" s="1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8</xdr:col>
                <xdr:colOff>133350</xdr:colOff>
                <xdr:row>8</xdr:row>
                <xdr:rowOff>85725</xdr:rowOff>
              </from>
              <to>
                <xdr:col>11</xdr:col>
                <xdr:colOff>438150</xdr:colOff>
                <xdr:row>10</xdr:row>
                <xdr:rowOff>123825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G30"/>
  <sheetViews>
    <sheetView workbookViewId="0">
      <selection activeCell="F2" sqref="F2"/>
    </sheetView>
  </sheetViews>
  <sheetFormatPr defaultRowHeight="15" x14ac:dyDescent="0.25"/>
  <cols>
    <col min="3" max="3" width="17" bestFit="1" customWidth="1"/>
    <col min="4" max="4" width="27.7109375" bestFit="1" customWidth="1"/>
    <col min="5" max="5" width="18.7109375" customWidth="1"/>
    <col min="6" max="6" width="14.85546875" customWidth="1"/>
    <col min="7" max="7" width="18.140625" customWidth="1"/>
  </cols>
  <sheetData>
    <row r="1" spans="3:7" x14ac:dyDescent="0.25">
      <c r="C1" t="s">
        <v>31</v>
      </c>
      <c r="D1" t="s">
        <v>32</v>
      </c>
      <c r="E1" t="s">
        <v>67</v>
      </c>
      <c r="F1" t="s">
        <v>68</v>
      </c>
      <c r="G1" t="s">
        <v>69</v>
      </c>
    </row>
    <row r="2" spans="3:7" x14ac:dyDescent="0.25">
      <c r="C2" s="23" t="s">
        <v>9</v>
      </c>
      <c r="D2" s="24" t="s">
        <v>33</v>
      </c>
      <c r="E2" s="25"/>
      <c r="F2" s="25" t="str">
        <f>TRIM(MID(Table1[[#This Row],[NAME ]],1,SEARCH(" ",Table1[[#This Row],[NAME ]])))</f>
        <v>Joy</v>
      </c>
      <c r="G2" s="25" t="str">
        <f>TRIM(MID(Table1[[#This Row],[NAME ]], SEARCH(" ",Table1[[#This Row],[NAME ]]), LEN(Table1[[#This Row],[NAME ]])))</f>
        <v>Feeney</v>
      </c>
    </row>
    <row r="3" spans="3:7" x14ac:dyDescent="0.25">
      <c r="C3" s="26" t="s">
        <v>10</v>
      </c>
      <c r="D3" s="24" t="s">
        <v>35</v>
      </c>
      <c r="E3" s="25"/>
      <c r="F3" s="25" t="str">
        <f>TRIM(MID(Table1[[#This Row],[NAME ]],1,SEARCH(" ",Table1[[#This Row],[NAME ]])))</f>
        <v>Trent</v>
      </c>
      <c r="G3" s="25" t="str">
        <f>TRIM(MID(Table1[[#This Row],[NAME ]], SEARCH(" ",Table1[[#This Row],[NAME ]]), LEN(Table1[[#This Row],[NAME ]])))</f>
        <v>Marvin</v>
      </c>
    </row>
    <row r="4" spans="3:7" x14ac:dyDescent="0.25">
      <c r="C4" s="23" t="s">
        <v>11</v>
      </c>
      <c r="D4" s="24" t="s">
        <v>36</v>
      </c>
      <c r="E4" s="25"/>
      <c r="F4" s="25" t="str">
        <f>TRIM(MID(Table1[[#This Row],[NAME ]],1,SEARCH(" ",Table1[[#This Row],[NAME ]])))</f>
        <v>Bridget</v>
      </c>
      <c r="G4" s="25" t="str">
        <f>TRIM(MID(Table1[[#This Row],[NAME ]], SEARCH(" ",Table1[[#This Row],[NAME ]]), LEN(Table1[[#This Row],[NAME ]])))</f>
        <v>Ashington</v>
      </c>
    </row>
    <row r="5" spans="3:7" x14ac:dyDescent="0.25">
      <c r="C5" s="26" t="s">
        <v>12</v>
      </c>
      <c r="D5" s="24" t="s">
        <v>37</v>
      </c>
      <c r="E5" s="25"/>
      <c r="F5" s="25" t="str">
        <f>TRIM(MID(Table1[[#This Row],[NAME ]],1,SEARCH(" ",Table1[[#This Row],[NAME ]])))</f>
        <v>Johnny</v>
      </c>
      <c r="G5" s="25" t="str">
        <f>TRIM(MID(Table1[[#This Row],[NAME ]], SEARCH(" ",Table1[[#This Row],[NAME ]]), LEN(Table1[[#This Row],[NAME ]])))</f>
        <v>Kruger</v>
      </c>
    </row>
    <row r="6" spans="3:7" x14ac:dyDescent="0.25">
      <c r="C6" s="27" t="s">
        <v>13</v>
      </c>
      <c r="D6" s="24" t="s">
        <v>38</v>
      </c>
      <c r="E6" s="25"/>
      <c r="F6" s="25" t="str">
        <f>TRIM(MID(Table1[[#This Row],[NAME ]],1,SEARCH(" ",Table1[[#This Row],[NAME ]])))</f>
        <v>Ashley</v>
      </c>
      <c r="G6" s="25" t="str">
        <f>TRIM(MID(Table1[[#This Row],[NAME ]], SEARCH(" ",Table1[[#This Row],[NAME ]]), LEN(Table1[[#This Row],[NAME ]])))</f>
        <v>Depp</v>
      </c>
    </row>
    <row r="7" spans="3:7" x14ac:dyDescent="0.25">
      <c r="C7" s="28" t="s">
        <v>14</v>
      </c>
      <c r="D7" s="24" t="s">
        <v>39</v>
      </c>
      <c r="E7" s="25"/>
      <c r="F7" s="25" t="str">
        <f>TRIM(MID(Table1[[#This Row],[NAME ]],1,SEARCH(" ",Table1[[#This Row],[NAME ]])))</f>
        <v>Mizuhara</v>
      </c>
      <c r="G7" s="25" t="str">
        <f>TRIM(MID(Table1[[#This Row],[NAME ]], SEARCH(" ",Table1[[#This Row],[NAME ]]), LEN(Table1[[#This Row],[NAME ]])))</f>
        <v>Inoue</v>
      </c>
    </row>
    <row r="8" spans="3:7" x14ac:dyDescent="0.25">
      <c r="C8" s="27" t="s">
        <v>15</v>
      </c>
      <c r="D8" s="24" t="s">
        <v>40</v>
      </c>
      <c r="E8" s="25"/>
      <c r="F8" s="25" t="str">
        <f>TRIM(MID(Table1[[#This Row],[NAME ]],1,SEARCH(" ",Table1[[#This Row],[NAME ]])))</f>
        <v>Mike</v>
      </c>
      <c r="G8" s="25" t="str">
        <f>TRIM(MID(Table1[[#This Row],[NAME ]], SEARCH(" ",Table1[[#This Row],[NAME ]]), LEN(Table1[[#This Row],[NAME ]])))</f>
        <v>Trevor</v>
      </c>
    </row>
    <row r="9" spans="3:7" x14ac:dyDescent="0.25">
      <c r="C9" s="28" t="s">
        <v>16</v>
      </c>
      <c r="D9" s="24" t="s">
        <v>41</v>
      </c>
      <c r="E9" s="25"/>
      <c r="F9" s="25" t="str">
        <f>TRIM(MID(Table1[[#This Row],[NAME ]],1,SEARCH(" ",Table1[[#This Row],[NAME ]])))</f>
        <v>George</v>
      </c>
      <c r="G9" s="25" t="str">
        <f>TRIM(MID(Table1[[#This Row],[NAME ]], SEARCH(" ",Table1[[#This Row],[NAME ]]), LEN(Table1[[#This Row],[NAME ]])))</f>
        <v>Fredward</v>
      </c>
    </row>
    <row r="10" spans="3:7" x14ac:dyDescent="0.25">
      <c r="C10" s="27" t="s">
        <v>17</v>
      </c>
      <c r="D10" s="24" t="s">
        <v>42</v>
      </c>
      <c r="E10" s="25"/>
      <c r="F10" s="25" t="str">
        <f>TRIM(MID(Table1[[#This Row],[NAME ]],1,SEARCH(" ",Table1[[#This Row],[NAME ]])))</f>
        <v>Brian</v>
      </c>
      <c r="G10" s="25" t="str">
        <f>TRIM(MID(Table1[[#This Row],[NAME ]], SEARCH(" ",Table1[[#This Row],[NAME ]]), LEN(Table1[[#This Row],[NAME ]])))</f>
        <v>Fedrickson</v>
      </c>
    </row>
    <row r="11" spans="3:7" x14ac:dyDescent="0.25">
      <c r="C11" s="28" t="s">
        <v>18</v>
      </c>
      <c r="D11" s="24" t="s">
        <v>43</v>
      </c>
      <c r="E11" s="25"/>
      <c r="F11" s="25" t="str">
        <f>TRIM(MID(Table1[[#This Row],[NAME ]],1,SEARCH(" ",Table1[[#This Row],[NAME ]])))</f>
        <v>Elizabeth</v>
      </c>
      <c r="G11" s="25" t="str">
        <f>TRIM(MID(Table1[[#This Row],[NAME ]], SEARCH(" ",Table1[[#This Row],[NAME ]]), LEN(Table1[[#This Row],[NAME ]])))</f>
        <v>Holmes</v>
      </c>
    </row>
    <row r="12" spans="3:7" x14ac:dyDescent="0.25">
      <c r="C12" s="28" t="s">
        <v>19</v>
      </c>
      <c r="D12" s="24" t="s">
        <v>44</v>
      </c>
      <c r="E12" s="25"/>
      <c r="F12" s="25" t="str">
        <f>TRIM(MID(Table1[[#This Row],[NAME ]],1,SEARCH(" ",Table1[[#This Row],[NAME ]])))</f>
        <v>Trishia</v>
      </c>
      <c r="G12" s="25" t="str">
        <f>TRIM(MID(Table1[[#This Row],[NAME ]], SEARCH(" ",Table1[[#This Row],[NAME ]]), LEN(Table1[[#This Row],[NAME ]])))</f>
        <v>Benson</v>
      </c>
    </row>
    <row r="13" spans="3:7" x14ac:dyDescent="0.25">
      <c r="C13" s="27" t="s">
        <v>20</v>
      </c>
      <c r="D13" s="24" t="s">
        <v>45</v>
      </c>
      <c r="E13" s="25"/>
      <c r="F13" s="25" t="str">
        <f>TRIM(MID(Table1[[#This Row],[NAME ]],1,SEARCH(" ",Table1[[#This Row],[NAME ]])))</f>
        <v>Olivia</v>
      </c>
      <c r="G13" s="25" t="str">
        <f>TRIM(MID(Table1[[#This Row],[NAME ]], SEARCH(" ",Table1[[#This Row],[NAME ]]), LEN(Table1[[#This Row],[NAME ]])))</f>
        <v>Terrison</v>
      </c>
    </row>
    <row r="14" spans="3:7" x14ac:dyDescent="0.25">
      <c r="C14" s="28" t="s">
        <v>21</v>
      </c>
      <c r="D14" s="24" t="s">
        <v>34</v>
      </c>
      <c r="E14" s="25"/>
      <c r="F14" s="25" t="str">
        <f>TRIM(MID(Table1[[#This Row],[NAME ]],1,SEARCH(" ",Table1[[#This Row],[NAME ]])))</f>
        <v>Trevor</v>
      </c>
      <c r="G14" s="25" t="str">
        <f>TRIM(MID(Table1[[#This Row],[NAME ]], SEARCH(" ",Table1[[#This Row],[NAME ]]), LEN(Table1[[#This Row],[NAME ]])))</f>
        <v>Noah</v>
      </c>
    </row>
    <row r="15" spans="3:7" x14ac:dyDescent="0.25">
      <c r="C15" s="28" t="s">
        <v>22</v>
      </c>
      <c r="D15" s="24" t="s">
        <v>46</v>
      </c>
      <c r="E15" s="25"/>
      <c r="F15" s="25" t="str">
        <f>TRIM(MID(Table1[[#This Row],[NAME ]],1,SEARCH(" ",Table1[[#This Row],[NAME ]])))</f>
        <v>Ava</v>
      </c>
      <c r="G15" s="25" t="str">
        <f>TRIM(MID(Table1[[#This Row],[NAME ]], SEARCH(" ",Table1[[#This Row],[NAME ]]), LEN(Table1[[#This Row],[NAME ]])))</f>
        <v>Chen</v>
      </c>
    </row>
    <row r="16" spans="3:7" x14ac:dyDescent="0.25">
      <c r="C16" s="27" t="s">
        <v>23</v>
      </c>
      <c r="D16" s="24" t="s">
        <v>47</v>
      </c>
      <c r="E16" s="25"/>
      <c r="F16" s="25" t="str">
        <f>TRIM(MID(Table1[[#This Row],[NAME ]],1,SEARCH(" ",Table1[[#This Row],[NAME ]])))</f>
        <v>Alex</v>
      </c>
      <c r="G16" s="25" t="str">
        <f>TRIM(MID(Table1[[#This Row],[NAME ]], SEARCH(" ",Table1[[#This Row],[NAME ]]), LEN(Table1[[#This Row],[NAME ]])))</f>
        <v>Freburg</v>
      </c>
    </row>
    <row r="17" spans="3:7" x14ac:dyDescent="0.25">
      <c r="C17" s="28" t="s">
        <v>24</v>
      </c>
      <c r="D17" s="24" t="s">
        <v>48</v>
      </c>
      <c r="E17" s="25"/>
      <c r="F17" s="25" t="str">
        <f>TRIM(MID(Table1[[#This Row],[NAME ]],1,SEARCH(" ",Table1[[#This Row],[NAME ]])))</f>
        <v>Stanley</v>
      </c>
      <c r="G17" s="25" t="str">
        <f>TRIM(MID(Table1[[#This Row],[NAME ]], SEARCH(" ",Table1[[#This Row],[NAME ]]), LEN(Table1[[#This Row],[NAME ]])))</f>
        <v>Hudson</v>
      </c>
    </row>
    <row r="18" spans="3:7" x14ac:dyDescent="0.25">
      <c r="C18" s="27" t="s">
        <v>25</v>
      </c>
      <c r="D18" s="24" t="s">
        <v>49</v>
      </c>
      <c r="E18" s="25"/>
      <c r="F18" s="25" t="str">
        <f>TRIM(MID(Table1[[#This Row],[NAME ]],1,SEARCH(" ",Table1[[#This Row],[NAME ]])))</f>
        <v>Josh</v>
      </c>
      <c r="G18" s="25" t="str">
        <f>TRIM(MID(Table1[[#This Row],[NAME ]], SEARCH(" ",Table1[[#This Row],[NAME ]]), LEN(Table1[[#This Row],[NAME ]])))</f>
        <v>Michealson</v>
      </c>
    </row>
    <row r="19" spans="3:7" x14ac:dyDescent="0.25">
      <c r="C19" s="28" t="s">
        <v>26</v>
      </c>
      <c r="D19" s="24" t="s">
        <v>50</v>
      </c>
      <c r="E19" s="25"/>
      <c r="F19" s="25" t="str">
        <f>TRIM(MID(Table1[[#This Row],[NAME ]],1,SEARCH(" ",Table1[[#This Row],[NAME ]])))</f>
        <v>Micheal</v>
      </c>
      <c r="G19" s="25" t="str">
        <f>TRIM(MID(Table1[[#This Row],[NAME ]], SEARCH(" ",Table1[[#This Row],[NAME ]]), LEN(Table1[[#This Row],[NAME ]])))</f>
        <v>Volkov</v>
      </c>
    </row>
    <row r="20" spans="3:7" x14ac:dyDescent="0.25">
      <c r="C20" s="25" t="s">
        <v>52</v>
      </c>
      <c r="D20" s="25" t="s">
        <v>53</v>
      </c>
      <c r="E20" s="25"/>
      <c r="F20" s="25" t="str">
        <f>TRIM(MID(Table1[[#This Row],[NAME ]],1,SEARCH(" ",Table1[[#This Row],[NAME ]])))</f>
        <v>Chris</v>
      </c>
      <c r="G20" s="25" t="str">
        <f>TRIM(MID(Table1[[#This Row],[NAME ]], SEARCH(" ",Table1[[#This Row],[NAME ]]), LEN(Table1[[#This Row],[NAME ]])))</f>
        <v>Hawkins</v>
      </c>
    </row>
    <row r="21" spans="3:7" x14ac:dyDescent="0.25">
      <c r="C21" s="25" t="s">
        <v>54</v>
      </c>
      <c r="D21" s="25" t="s">
        <v>55</v>
      </c>
      <c r="E21" s="25"/>
      <c r="F21" s="25" t="str">
        <f>TRIM(MID(Table1[[#This Row],[NAME ]],1,SEARCH(" ",Table1[[#This Row],[NAME ]])))</f>
        <v>Mary</v>
      </c>
      <c r="G21" s="25" t="str">
        <f>TRIM(MID(Table1[[#This Row],[NAME ]], SEARCH(" ",Table1[[#This Row],[NAME ]]), LEN(Table1[[#This Row],[NAME ]])))</f>
        <v>Poppings</v>
      </c>
    </row>
    <row r="22" spans="3:7" x14ac:dyDescent="0.25">
      <c r="C22" s="25" t="s">
        <v>57</v>
      </c>
      <c r="D22" s="25" t="s">
        <v>58</v>
      </c>
      <c r="E22" s="25"/>
      <c r="F22" s="25" t="str">
        <f>TRIM(MID(Table1[[#This Row],[NAME ]],1,SEARCH(" ",Table1[[#This Row],[NAME ]])))</f>
        <v>Franklin</v>
      </c>
      <c r="G22" s="25" t="str">
        <f>TRIM(MID(Table1[[#This Row],[NAME ]], SEARCH(" ",Table1[[#This Row],[NAME ]]), LEN(Table1[[#This Row],[NAME ]])))</f>
        <v>Pugh</v>
      </c>
    </row>
    <row r="23" spans="3:7" x14ac:dyDescent="0.25">
      <c r="C23" s="25" t="s">
        <v>59</v>
      </c>
      <c r="D23" s="25"/>
      <c r="E23" s="25"/>
      <c r="F23" s="25" t="str">
        <f>TRIM(MID(Table1[[#This Row],[NAME ]],1,SEARCH(" ",Table1[[#This Row],[NAME ]])))</f>
        <v>Mathew</v>
      </c>
      <c r="G23" s="25" t="str">
        <f>TRIM(MID(Table1[[#This Row],[NAME ]], SEARCH(" ",Table1[[#This Row],[NAME ]]), LEN(Table1[[#This Row],[NAME ]])))</f>
        <v>Hopkins</v>
      </c>
    </row>
    <row r="24" spans="3:7" x14ac:dyDescent="0.25">
      <c r="C24" s="25" t="s">
        <v>70</v>
      </c>
      <c r="D24" s="25" t="s">
        <v>60</v>
      </c>
      <c r="E24" s="25"/>
      <c r="F24" s="25" t="str">
        <f>TRIM(MID(Table1[[#This Row],[NAME ]],1,SEARCH(" ",Table1[[#This Row],[NAME ]])))</f>
        <v>Stella</v>
      </c>
      <c r="G24" s="25" t="str">
        <f>TRIM(MID(Table1[[#This Row],[NAME ]], SEARCH(" ",Table1[[#This Row],[NAME ]]), LEN(Table1[[#This Row],[NAME ]])))</f>
        <v>Ausbourne</v>
      </c>
    </row>
    <row r="25" spans="3:7" ht="30" x14ac:dyDescent="0.25">
      <c r="C25" s="25" t="s">
        <v>61</v>
      </c>
      <c r="D25" s="25" t="s">
        <v>62</v>
      </c>
      <c r="E25" s="25"/>
      <c r="F25" s="25" t="str">
        <f>TRIM(MID(Table1[[#This Row],[NAME ]],1,SEARCH(" ",Table1[[#This Row],[NAME ]])))</f>
        <v>Chris</v>
      </c>
      <c r="G25" s="25" t="str">
        <f>TRIM(MID(Table1[[#This Row],[NAME ]], SEARCH(" ",Table1[[#This Row],[NAME ]]), LEN(Table1[[#This Row],[NAME ]])))</f>
        <v>Hemmingway</v>
      </c>
    </row>
    <row r="26" spans="3:7" x14ac:dyDescent="0.25">
      <c r="C26" s="25" t="s">
        <v>63</v>
      </c>
      <c r="D26" s="25" t="s">
        <v>64</v>
      </c>
      <c r="E26" s="25"/>
      <c r="F26" s="25" t="str">
        <f>TRIM(MID(Table1[[#This Row],[NAME ]],1,SEARCH(" ",Table1[[#This Row],[NAME ]])))</f>
        <v>David</v>
      </c>
      <c r="G26" s="25" t="str">
        <f>TRIM(MID(Table1[[#This Row],[NAME ]], SEARCH(" ",Table1[[#This Row],[NAME ]]), LEN(Table1[[#This Row],[NAME ]])))</f>
        <v>Bowey</v>
      </c>
    </row>
    <row r="27" spans="3:7" x14ac:dyDescent="0.25">
      <c r="C27" s="25" t="s">
        <v>65</v>
      </c>
      <c r="D27" s="25" t="s">
        <v>66</v>
      </c>
      <c r="E27" s="25"/>
      <c r="F27" s="25" t="str">
        <f>TRIM(MID(Table1[[#This Row],[NAME ]],1,SEARCH(" ",Table1[[#This Row],[NAME ]])))</f>
        <v>Stella</v>
      </c>
      <c r="G27" s="25" t="str">
        <f>TRIM(MID(Table1[[#This Row],[NAME ]], SEARCH(" ",Table1[[#This Row],[NAME ]]), LEN(Table1[[#This Row],[NAME ]])))</f>
        <v>Maris</v>
      </c>
    </row>
    <row r="28" spans="3:7" ht="30" x14ac:dyDescent="0.25">
      <c r="C28" s="25" t="s">
        <v>71</v>
      </c>
      <c r="D28" s="25" t="s">
        <v>72</v>
      </c>
      <c r="E28" s="25" t="s">
        <v>101</v>
      </c>
      <c r="F28" s="29" t="str">
        <f>TRIM(MID(Table1[[#This Row],[NAME ]],1,SEARCH(" ",Table1[[#This Row],[NAME ]])))</f>
        <v>Belinda</v>
      </c>
      <c r="G28" s="29" t="str">
        <f>TRIM(MID(Table1[[#This Row],[NAME ]], SEARCH(" ",Table1[[#This Row],[NAME ]]), LEN(Table1[[#This Row],[NAME ]])))</f>
        <v>Moore</v>
      </c>
    </row>
    <row r="29" spans="3:7" x14ac:dyDescent="0.25">
      <c r="C29" s="25" t="s">
        <v>73</v>
      </c>
      <c r="D29" s="25" t="s">
        <v>74</v>
      </c>
      <c r="E29" s="25" t="s">
        <v>100</v>
      </c>
      <c r="F29" s="29" t="str">
        <f>TRIM(MID(Table1[[#This Row],[NAME ]],1,SEARCH(" ",Table1[[#This Row],[NAME ]])))</f>
        <v>Elijah</v>
      </c>
      <c r="G29" s="29" t="str">
        <f>TRIM(MID(Table1[[#This Row],[NAME ]], SEARCH(" ",Table1[[#This Row],[NAME ]]), LEN(Table1[[#This Row],[NAME ]])))</f>
        <v>Tumbleton</v>
      </c>
    </row>
    <row r="30" spans="3:7" ht="45" x14ac:dyDescent="0.25">
      <c r="C30" s="25" t="s">
        <v>75</v>
      </c>
      <c r="D30" s="25" t="s">
        <v>76</v>
      </c>
      <c r="E30" s="25" t="s">
        <v>77</v>
      </c>
      <c r="F30" s="29" t="str">
        <f>TRIM(MID(Table1[[#This Row],[NAME ]],1,SEARCH(" ",Table1[[#This Row],[NAME ]])))</f>
        <v>Nicole</v>
      </c>
      <c r="G30" s="29" t="str">
        <f>TRIM(MID(Table1[[#This Row],[NAME ]], SEARCH(" ",Table1[[#This Row],[NAME ]]), LEN(Table1[[#This Row],[NAME ]])))</f>
        <v>Wattson</v>
      </c>
    </row>
  </sheetData>
  <conditionalFormatting sqref="A1048576:B1048576 H1048576:XFD1048576 A29:XFD1048575 A28:B28 H28:XFD28 C28:G1048576 A1:XFD27">
    <cfRule type="notContainsBlanks" dxfId="6" priority="1">
      <formula>LEN(TRIM(A1))&gt;0</formula>
    </cfRule>
  </conditionalFormatting>
  <hyperlinks>
    <hyperlink ref="D2" r:id="rId1"/>
    <hyperlink ref="D3" r:id="rId2"/>
    <hyperlink ref="D4" r:id="rId3"/>
    <hyperlink ref="D5" r:id="rId4"/>
    <hyperlink ref="D6" r:id="rId5"/>
    <hyperlink ref="D7" r:id="rId6"/>
    <hyperlink ref="D8" r:id="rId7"/>
    <hyperlink ref="D9" r:id="rId8"/>
    <hyperlink ref="D10" r:id="rId9"/>
    <hyperlink ref="D11" r:id="rId10"/>
    <hyperlink ref="D12" r:id="rId11"/>
    <hyperlink ref="D13" r:id="rId12"/>
    <hyperlink ref="D14" r:id="rId13"/>
    <hyperlink ref="D15" r:id="rId14"/>
    <hyperlink ref="D16" r:id="rId15"/>
    <hyperlink ref="D17" r:id="rId16"/>
    <hyperlink ref="D18" r:id="rId17"/>
    <hyperlink ref="D19" r:id="rId18"/>
  </hyperlinks>
  <pageMargins left="0.7" right="0.7" top="0.75" bottom="0.75" header="0.3" footer="0.3"/>
  <pageSetup orientation="portrait" r:id="rId19"/>
  <tableParts count="1"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Sample</vt:lpstr>
      <vt:lpstr> VBA FORM</vt:lpstr>
      <vt:lpstr>Name &amp; Email 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2024-07-23T09:26:39Z</dcterms:created>
  <dcterms:modified xsi:type="dcterms:W3CDTF">2024-09-14T23:16:41Z</dcterms:modified>
</cp:coreProperties>
</file>